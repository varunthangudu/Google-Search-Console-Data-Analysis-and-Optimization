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R Benchmark" sheetId="1" state="visible" r:id="rId3"/>
    <sheet name="Query Analysis" sheetId="2" state="visible" r:id="rId4"/>
    <sheet name="Page Analysis" sheetId="3" state="visible" r:id="rId5"/>
    <sheet name="URL Inspection Log" sheetId="4" state="visible" r:id="rId6"/>
    <sheet name="Optimisation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<sst xmlns="http://schemas.openxmlformats.org/spreadsheetml/2006/main" count="219" uniqueCount="108">
  <si>
    <t xml:space="preserve">Expected organic CTR by average position</t>
  </si>
  <si>
    <t xml:space="preserve">Published industry averages for informational queries. These are the yardstick the other sheets measure against. Replace them with your own site's averages once you have three months of data — a site's real curve is usually a few points off the industry one.</t>
  </si>
  <si>
    <t xml:space="preserve">Position band</t>
  </si>
  <si>
    <t xml:space="preserve">Lower bound</t>
  </si>
  <si>
    <t xml:space="preserve">Expected CTR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</si>
  <si>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</si>
  <si>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</si>
  <si>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</si>
  <si>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</si>
  <si>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</si>
  <si>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</si>
  <si>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</si>
  <si>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</si>
  <si>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</si>
  <si>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</si>
  <si>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11–15</t>
  </si>
  <si>
    <t xml:space="preserve">16–20</t>
  </si>
  <si>
    <t xml:space="preserve">21+</t>
  </si>
  <si>
    <t xml:space="preserve">QUERY-LEVEL ANALYSIS. Replace the yellow cells with your own export: Search Console &gt; Performance &gt; Queries &gt; Export. The sample rows below are illustrative placeholders so the model works before your data arrives — they are not measured results. Red in the CTR gap column means the query earns fewer clicks than its ranking position should deliver, which is a title and snippet problem rather than a ranking problem.</t>
  </si>
  <si>
    <t xml:space="preserve">Query</t>
  </si>
  <si>
    <t xml:space="preserve">Clicks</t>
  </si>
  <si>
    <t xml:space="preserve">Impressions</t>
  </si>
  <si>
    <t xml:space="preserve">CTR</t>
  </si>
  <si>
    <t xml:space="preserve">Avg position</t>
  </si>
  <si>
    <t xml:space="preserve">Benchmark CTR</t>
  </si>
  <si>
    <t xml:space="preserve">CTR gap</t>
  </si>
  <si>
    <t xml:space="preserve">Opportunity (clicks)</t>
  </si>
  <si>
    <t xml:space="preserve">what is sip in mutual fund</t>
  </si>
  <si>
    <t xml:space="preserve">old vs new tax regime which is better</t>
  </si>
  <si>
    <t xml:space="preserve">how to improve cibil score</t>
  </si>
  <si>
    <t xml:space="preserve">section 80c deduction list</t>
  </si>
  <si>
    <t xml:space="preserve">what is epf and how it works</t>
  </si>
  <si>
    <t xml:space="preserve">how much emergency fund india</t>
  </si>
  <si>
    <t xml:space="preserve">what to do with first salary</t>
  </si>
  <si>
    <t xml:space="preserve">term insurance vs endowment plan</t>
  </si>
  <si>
    <t xml:space="preserve">mutual fund vs fixed deposit</t>
  </si>
  <si>
    <t xml:space="preserve">ppf account benefits</t>
  </si>
  <si>
    <t xml:space="preserve">what is index fund india</t>
  </si>
  <si>
    <t xml:space="preserve">nps scheme explained</t>
  </si>
  <si>
    <t xml:space="preserve">health insurance for young adults india</t>
  </si>
  <si>
    <t xml:space="preserve">power of compounding explained</t>
  </si>
  <si>
    <t xml:space="preserve">income tax basics for salaried india</t>
  </si>
  <si>
    <t xml:space="preserve">Total</t>
  </si>
  <si>
    <t xml:space="preserve">PAGE-LEVEL ANALYSIS. Search Console &gt; Performance &gt; Pages &gt; Export. Same method as the query sheet. Sort by the Opportunity column to decide which page to rewrite first: it converts the CTR gap into the number of clicks a better title and meta description could realistically recover.</t>
  </si>
  <si>
    <t xml:space="preserve">Page URL</t>
  </si>
  <si>
    <t xml:space="preserve">/what-is-sip/</t>
  </si>
  <si>
    <t xml:space="preserve">/old-vs-new-tax-regime/</t>
  </si>
  <si>
    <t xml:space="preserve">/credit-score/</t>
  </si>
  <si>
    <t xml:space="preserve">/section-80c/</t>
  </si>
  <si>
    <t xml:space="preserve">/epf-explained/</t>
  </si>
  <si>
    <t xml:space="preserve">/first-salary/</t>
  </si>
  <si>
    <t xml:space="preserve">/emergency-fund/</t>
  </si>
  <si>
    <t xml:space="preserve">/mutual-fund-vs-fd/</t>
  </si>
  <si>
    <t xml:space="preserve">/compounding/</t>
  </si>
  <si>
    <t xml:space="preserve">/index-funds/</t>
  </si>
  <si>
    <t xml:space="preserve">/term-insurance/</t>
  </si>
  <si>
    <t xml:space="preserve">/health-insurance-basics/</t>
  </si>
  <si>
    <t xml:space="preserve">/tax-basics/</t>
  </si>
  <si>
    <t xml:space="preserve">/investing-basics/</t>
  </si>
  <si>
    <t xml:space="preserve">/first-job-checklist/</t>
  </si>
  <si>
    <t xml:space="preserve">/insurance-basics/</t>
  </si>
  <si>
    <t xml:space="preserve">/nps-basics/</t>
  </si>
  <si>
    <t xml:space="preserve">/ppf-explained/</t>
  </si>
  <si>
    <t xml:space="preserve">Run every URL through Search Console &gt; URL Inspection and record the result. The two rows showing 'Discovered - currently not indexed' are the pages orphaned in v1: nothing on the site links to them, and without a sitemap Google has no reliable route to them.</t>
  </si>
  <si>
    <t xml:space="preserve">URL</t>
  </si>
  <si>
    <t xml:space="preserve">Indexed?</t>
  </si>
  <si>
    <t xml:space="preserve">Coverage state</t>
  </si>
  <si>
    <t xml:space="preserve">Crawled as</t>
  </si>
  <si>
    <t xml:space="preserve">Last crawl</t>
  </si>
  <si>
    <t xml:space="preserve">Action taken</t>
  </si>
  <si>
    <t xml:space="preserve">/</t>
  </si>
  <si>
    <t xml:space="preserve">Yes</t>
  </si>
  <si>
    <t xml:space="preserve">Submitted and indexed</t>
  </si>
  <si>
    <t xml:space="preserve">Smartphone</t>
  </si>
  <si>
    <t xml:space="preserve">None needed</t>
  </si>
  <si>
    <t xml:space="preserve">Title rewritten</t>
  </si>
  <si>
    <t xml:space="preserve">Meta description added</t>
  </si>
  <si>
    <t xml:space="preserve">No</t>
  </si>
  <si>
    <t xml:space="preserve">Discovered - currently not indexed</t>
  </si>
  <si>
    <t xml:space="preserve">-</t>
  </si>
  <si>
    <t xml:space="preserve">Linked from hub + sitemap, resubmitted</t>
  </si>
  <si>
    <t xml:space="preserve">/budgeting-guide/</t>
  </si>
  <si>
    <t xml:space="preserve">Not found (404)</t>
  </si>
  <si>
    <t xml:space="preserve">Broken internal link removed in v2</t>
  </si>
  <si>
    <t xml:space="preserve">Every change made in Phase 2, with the metric it was meant to move. Record the 28-day figures before the change and 28 days after, so each edit can be judged individually rather than as one undifferentiated 'we did SEO' before-and-after.</t>
  </si>
  <si>
    <t xml:space="preserve">Page</t>
  </si>
  <si>
    <t xml:space="preserve">Change made</t>
  </si>
  <si>
    <t xml:space="preserve">Old title</t>
  </si>
  <si>
    <t xml:space="preserve">New title</t>
  </si>
  <si>
    <t xml:space="preserve">CTR before</t>
  </si>
  <si>
    <t xml:space="preserve">CTR after</t>
  </si>
  <si>
    <t xml:space="preserve">Change</t>
  </si>
  <si>
    <t xml:space="preserve">Verdict</t>
  </si>
  <si>
    <t xml:space="preserve">Title rewritten to match the question asked</t>
  </si>
  <si>
    <t xml:space="preserve">The First Lakh</t>
  </si>
  <si>
    <t xml:space="preserve">What Is an SIP? Plain Explanation for Beginners</t>
  </si>
  <si>
    <t xml:space="preserve">Title made comparative and specific</t>
  </si>
  <si>
    <t xml:space="preserve">Old vs New Tax Regime - How to Tell Which Suits You</t>
  </si>
  <si>
    <t xml:space="preserve">Title rewritten around the query</t>
  </si>
  <si>
    <t xml:space="preserve">How to Improve Your CIBIL Score - What Actually Moves It</t>
  </si>
  <si>
    <t xml:space="preserve">Section 80C Deduction List and What It Is Really Worth</t>
  </si>
  <si>
    <t xml:space="preserve">Title given a geographic qualifier</t>
  </si>
  <si>
    <t xml:space="preserve">Index Funds in India - How They Work</t>
  </si>
  <si>
    <t xml:space="preserve">Title rewritten around the audience</t>
  </si>
  <si>
    <t xml:space="preserve">Health Insurance for Young Adults in India</t>
  </si>
  <si>
    <t xml:space="preserve">Orphan page linked and submitted</t>
  </si>
  <si>
    <t xml:space="preserve">NPS Explained - Tax Benefit and the Annuity Catch</t>
  </si>
  <si>
    <t xml:space="preserve">PPF Account Benefits and the 15-Year Lock-In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</si>
</sst>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D65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D26"/>
        <bgColor rgb="FF333300"/>
      </patternFill>
    </fill>
    <fill>
      <patternFill patternType="solid">
        <fgColor rgb="FFFFF3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2EC"/>
      </left>
      <right style="thin">
        <color rgb="FFDDE2EC"/>
      </right>
      <top style="thin">
        <color rgb="FFDDE2EC"/>
      </top>
      <bottom style="thin">
        <color rgb="FFDD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BD5D5"/>
        </patternFill>
      </fill>
    </dxf>
    <dxf>
      <fill>
        <patternFill>
          <bgColor rgb="FFD8EF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C"/>
      <rgbColor rgb="FFCCFFFF"/>
      <rgbColor rgb="FF660066"/>
      <rgbColor rgb="FFFF8080"/>
      <rgbColor rgb="FF0066CC"/>
      <rgbColor rgb="FFDD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5D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D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/>
      <c r="E4" s="2"/>
    </row>
    <row r="6" customFormat="false" ht="15" hidden="false" customHeight="false" outlineLevel="0" collapsed="false">
      <c r="A6" s="3"/>
      <c r="B6" s="3"/>
      <c r="C6" s="3"/>
    </row>
    <row r="7" customFormat="false" ht="15" hidden="false" customHeight="false" outlineLevel="0" collapsed="false">
      <c r="A7" s="4" t="s">
        <v>5</v>
      </c>
      <c r="B7" s="4" t="n">
        <v>1</v>
      </c>
      <c r="C7" s="5" t="n">
        <v>0.276</v>
      </c>
    </row>
    <row r="8" customFormat="false" ht="15" hidden="false" customHeight="false" outlineLevel="0" collapsed="false">
      <c r="A8" s="4" t="s">
        <v>6</v>
      </c>
      <c r="B8" s="4" t="n">
        <v>2</v>
      </c>
      <c r="C8" s="5" t="n">
        <v>0.158</v>
      </c>
    </row>
    <row r="9" customFormat="false" ht="15" hidden="false" customHeight="false" outlineLevel="0" collapsed="false">
      <c r="A9" s="4" t="s">
        <v>7</v>
      </c>
      <c r="B9" s="4" t="n">
        <v>3</v>
      </c>
      <c r="C9" s="5" t="n">
        <v>0.11</v>
      </c>
    </row>
    <row r="10" customFormat="false" ht="15" hidden="false" customHeight="false" outlineLevel="0" collapsed="false">
      <c r="A10" s="4" t="s">
        <v>8</v>
      </c>
      <c r="B10" s="4" t="n">
        <v>4</v>
      </c>
      <c r="C10" s="5" t="n">
        <v>0.084</v>
      </c>
    </row>
    <row r="11" customFormat="false" ht="15" hidden="false" customHeight="false" outlineLevel="0" collapsed="false">
      <c r="A11" s="4" t="s">
        <v>9</v>
      </c>
      <c r="B11" s="4" t="n">
        <v>5</v>
      </c>
      <c r="C11" s="5" t="n">
        <v>0.063</v>
      </c>
    </row>
    <row r="12" customFormat="false" ht="15" hidden="false" customHeight="false" outlineLevel="0" collapsed="false">
      <c r="A12" s="4" t="s">
        <v>10</v>
      </c>
      <c r="B12" s="4" t="n">
        <v>6</v>
      </c>
      <c r="C12" s="5" t="n">
        <v>0.049</v>
      </c>
    </row>
    <row r="13" customFormat="false" ht="15" hidden="false" customHeight="false" outlineLevel="0" collapsed="false">
      <c r="A13" s="4" t="s">
        <v>11</v>
      </c>
      <c r="B13" s="4" t="n">
        <v>7</v>
      </c>
      <c r="C13" s="5" t="n">
        <v>0.039</v>
      </c>
    </row>
    <row r="14" customFormat="false" ht="15" hidden="false" customHeight="false" outlineLevel="0" collapsed="false">
      <c r="A14" s="4" t="s">
        <v>12</v>
      </c>
      <c r="B14" s="4" t="n">
        <v>8</v>
      </c>
      <c r="C14" s="5" t="n">
        <v>0.033</v>
      </c>
    </row>
    <row r="15" customFormat="false" ht="15" hidden="false" customHeight="false" outlineLevel="0" collapsed="false">
      <c r="A15" s="4" t="s">
        <v>13</v>
      </c>
      <c r="B15" s="4" t="n">
        <v>9</v>
      </c>
      <c r="C15" s="5" t="n">
        <v>0.027</v>
      </c>
    </row>
    <row r="16" customFormat="false" ht="15" hidden="false" customHeight="false" outlineLevel="0" collapsed="false">
      <c r="A16" s="4" t="s">
        <v>14</v>
      </c>
      <c r="B16" s="4" t="n">
        <v>10</v>
      </c>
      <c r="C16" s="5" t="n">
        <v>0.024</v>
      </c>
    </row>
    <row r="17" customFormat="false" ht="15" hidden="false" customHeight="false" outlineLevel="0" collapsed="false">
      <c r="A17" s="4" t="s">
        <v>15</v>
      </c>
      <c r="B17" s="4" t="n">
        <v>11</v>
      </c>
      <c r="C17" s="5" t="n">
        <v>0.018</v>
      </c>
    </row>
    <row r="18" customFormat="false" ht="15" hidden="false" customHeight="false" outlineLevel="0" collapsed="false">
      <c r="A18" s="4" t="s">
        <v>16</v>
      </c>
      <c r="B18" s="4" t="n">
        <v>16</v>
      </c>
      <c r="C18" s="5" t="n">
        <v>0.012</v>
      </c>
    </row>
    <row r="19" customFormat="false" ht="15" hidden="false" customHeight="false" outlineLevel="0" collapsed="false">
      <c r="A19" s="4" t="s">
        <v>17</v>
      </c>
      <c r="B19" s="4" t="n">
        <v>21</v>
      </c>
      <c r="C19" s="5" t="n">
        <v>0.006</v>
      </c>
    </row>
  </sheetData>
  <mergeCells count="1">
    <mergeCell ref="A2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7"/>
  </cols>
  <sheetData>
    <row r="1" customFormat="false" ht="15" hidden="false" customHeight="true" outlineLevel="0" collapsed="false">
      <c r="A1" s="2" t="s">
        <v>18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</row>
    <row r="5" customFormat="false" ht="30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4" t="s">
        <v>27</v>
      </c>
      <c r="B6" s="7" t="n">
        <v>38</v>
      </c>
      <c r="C6" s="7" t="n">
        <v>1560</v>
      </c>
      <c r="D6" s="8" t="n">
        <f aca="false">IF(C6=0,0,B6/C6)</f>
        <v>0.0243589743589744</v>
      </c>
      <c r="E6" s="9" t="n">
        <v>6.1</v>
      </c>
      <c r="F6" s="5" t="n">
        <f aca="false">IF(E6&lt;1,"",LOOKUP(E6,'CTR Benchmark'!$B$7:$B$19,'CTR Benchmark'!$C$7:$C$19))</f>
        <v>0.049</v>
      </c>
      <c r="G6" s="8" t="n">
        <f aca="false">IF(F6="","",D6-F6)</f>
        <v>-0.0246410256410256</v>
      </c>
      <c r="H6" s="10" t="n">
        <f aca="false">IF(G6="",0,ROUND(MAX(0,-G6)*C6,0))</f>
        <v>38</v>
      </c>
    </row>
    <row r="7" customFormat="false" ht="15" hidden="false" customHeight="false" outlineLevel="0" collapsed="false">
      <c r="A7" s="4" t="s">
        <v>28</v>
      </c>
      <c r="B7" s="7" t="n">
        <v>26</v>
      </c>
      <c r="C7" s="7" t="n">
        <v>1340</v>
      </c>
      <c r="D7" s="8" t="n">
        <f aca="false">IF(C7=0,0,B7/C7)</f>
        <v>0.0194029850746269</v>
      </c>
      <c r="E7" s="9" t="n">
        <v>7.4</v>
      </c>
      <c r="F7" s="5" t="n">
        <f aca="false">IF(E7&lt;1,"",LOOKUP(E7,'CTR Benchmark'!$B$7:$B$19,'CTR Benchmark'!$C$7:$C$19))</f>
        <v>0.039</v>
      </c>
      <c r="G7" s="8" t="n">
        <f aca="false">IF(F7="","",D7-F7)</f>
        <v>-0.0195970149253731</v>
      </c>
      <c r="H7" s="10" t="n">
        <f aca="false">IF(G7="",0,ROUND(MAX(0,-G7)*C7,0))</f>
        <v>26</v>
      </c>
    </row>
    <row r="8" customFormat="false" ht="15" hidden="false" customHeight="false" outlineLevel="0" collapsed="false">
      <c r="A8" s="4" t="s">
        <v>29</v>
      </c>
      <c r="B8" s="7" t="n">
        <v>14</v>
      </c>
      <c r="C8" s="7" t="n">
        <v>1190</v>
      </c>
      <c r="D8" s="8" t="n">
        <f aca="false">IF(C8=0,0,B8/C8)</f>
        <v>0.0117647058823529</v>
      </c>
      <c r="E8" s="9" t="n">
        <v>9.2</v>
      </c>
      <c r="F8" s="5" t="n">
        <f aca="false">IF(E8&lt;1,"",LOOKUP(E8,'CTR Benchmark'!$B$7:$B$19,'CTR Benchmark'!$C$7:$C$19))</f>
        <v>0.027</v>
      </c>
      <c r="G8" s="8" t="n">
        <f aca="false">IF(F8="","",D8-F8)</f>
        <v>-0.0152352941176471</v>
      </c>
      <c r="H8" s="10" t="n">
        <f aca="false">IF(G8="",0,ROUND(MAX(0,-G8)*C8,0))</f>
        <v>18</v>
      </c>
    </row>
    <row r="9" customFormat="false" ht="15" hidden="false" customHeight="false" outlineLevel="0" collapsed="false">
      <c r="A9" s="4" t="s">
        <v>30</v>
      </c>
      <c r="B9" s="7" t="n">
        <v>22</v>
      </c>
      <c r="C9" s="7" t="n">
        <v>870</v>
      </c>
      <c r="D9" s="8" t="n">
        <f aca="false">IF(C9=0,0,B9/C9)</f>
        <v>0.0252873563218391</v>
      </c>
      <c r="E9" s="9" t="n">
        <v>5.8</v>
      </c>
      <c r="F9" s="5" t="n">
        <f aca="false">IF(E9&lt;1,"",LOOKUP(E9,'CTR Benchmark'!$B$7:$B$19,'CTR Benchmark'!$C$7:$C$19))</f>
        <v>0.063</v>
      </c>
      <c r="G9" s="8" t="n">
        <f aca="false">IF(F9="","",D9-F9)</f>
        <v>-0.0377126436781609</v>
      </c>
      <c r="H9" s="10" t="n">
        <f aca="false">IF(G9="",0,ROUND(MAX(0,-G9)*C9,0))</f>
        <v>33</v>
      </c>
    </row>
    <row r="10" customFormat="false" ht="15" hidden="false" customHeight="false" outlineLevel="0" collapsed="false">
      <c r="A10" s="4" t="s">
        <v>31</v>
      </c>
      <c r="B10" s="7" t="n">
        <v>17</v>
      </c>
      <c r="C10" s="7" t="n">
        <v>760</v>
      </c>
      <c r="D10" s="8" t="n">
        <f aca="false">IF(C10=0,0,B10/C10)</f>
        <v>0.0223684210526316</v>
      </c>
      <c r="E10" s="9" t="n">
        <v>6.9</v>
      </c>
      <c r="F10" s="5" t="n">
        <f aca="false">IF(E10&lt;1,"",LOOKUP(E10,'CTR Benchmark'!$B$7:$B$19,'CTR Benchmark'!$C$7:$C$19))</f>
        <v>0.049</v>
      </c>
      <c r="G10" s="8" t="n">
        <f aca="false">IF(F10="","",D10-F10)</f>
        <v>-0.0266315789473684</v>
      </c>
      <c r="H10" s="10" t="n">
        <f aca="false">IF(G10="",0,ROUND(MAX(0,-G10)*C10,0))</f>
        <v>20</v>
      </c>
    </row>
    <row r="11" customFormat="false" ht="15" hidden="false" customHeight="false" outlineLevel="0" collapsed="false">
      <c r="A11" s="4" t="s">
        <v>32</v>
      </c>
      <c r="B11" s="7" t="n">
        <v>12</v>
      </c>
      <c r="C11" s="7" t="n">
        <v>480</v>
      </c>
      <c r="D11" s="8" t="n">
        <f aca="false">IF(C11=0,0,B11/C11)</f>
        <v>0.025</v>
      </c>
      <c r="E11" s="9" t="n">
        <v>5.1</v>
      </c>
      <c r="F11" s="5" t="n">
        <f aca="false">IF(E11&lt;1,"",LOOKUP(E11,'CTR Benchmark'!$B$7:$B$19,'CTR Benchmark'!$C$7:$C$19))</f>
        <v>0.063</v>
      </c>
      <c r="G11" s="8" t="n">
        <f aca="false">IF(F11="","",D11-F11)</f>
        <v>-0.038</v>
      </c>
      <c r="H11" s="10" t="n">
        <f aca="false">IF(G11="",0,ROUND(MAX(0,-G11)*C11,0))</f>
        <v>18</v>
      </c>
    </row>
    <row r="12" customFormat="false" ht="15" hidden="false" customHeight="false" outlineLevel="0" collapsed="false">
      <c r="A12" s="4" t="s">
        <v>33</v>
      </c>
      <c r="B12" s="7" t="n">
        <v>19</v>
      </c>
      <c r="C12" s="7" t="n">
        <v>540</v>
      </c>
      <c r="D12" s="8" t="n">
        <f aca="false">IF(C12=0,0,B12/C12)</f>
        <v>0.0351851851851852</v>
      </c>
      <c r="E12" s="9" t="n">
        <v>4.6</v>
      </c>
      <c r="F12" s="5" t="n">
        <f aca="false">IF(E12&lt;1,"",LOOKUP(E12,'CTR Benchmark'!$B$7:$B$19,'CTR Benchmark'!$C$7:$C$19))</f>
        <v>0.084</v>
      </c>
      <c r="G12" s="8" t="n">
        <f aca="false">IF(F12="","",D12-F12)</f>
        <v>-0.0488148148148148</v>
      </c>
      <c r="H12" s="10" t="n">
        <f aca="false">IF(G12="",0,ROUND(MAX(0,-G12)*C12,0))</f>
        <v>26</v>
      </c>
    </row>
    <row r="13" customFormat="false" ht="15" hidden="false" customHeight="false" outlineLevel="0" collapsed="false">
      <c r="A13" s="4" t="s">
        <v>34</v>
      </c>
      <c r="B13" s="7" t="n">
        <v>9</v>
      </c>
      <c r="C13" s="7" t="n">
        <v>410</v>
      </c>
      <c r="D13" s="8" t="n">
        <f aca="false">IF(C13=0,0,B13/C13)</f>
        <v>0.0219512195121951</v>
      </c>
      <c r="E13" s="9" t="n">
        <v>8.3</v>
      </c>
      <c r="F13" s="5" t="n">
        <f aca="false">IF(E13&lt;1,"",LOOKUP(E13,'CTR Benchmark'!$B$7:$B$19,'CTR Benchmark'!$C$7:$C$19))</f>
        <v>0.033</v>
      </c>
      <c r="G13" s="8" t="n">
        <f aca="false">IF(F13="","",D13-F13)</f>
        <v>-0.0110487804878049</v>
      </c>
      <c r="H13" s="10" t="n">
        <f aca="false">IF(G13="",0,ROUND(MAX(0,-G13)*C13,0))</f>
        <v>5</v>
      </c>
    </row>
    <row r="14" customFormat="false" ht="15" hidden="false" customHeight="false" outlineLevel="0" collapsed="false">
      <c r="A14" s="4" t="s">
        <v>35</v>
      </c>
      <c r="B14" s="7" t="n">
        <v>11</v>
      </c>
      <c r="C14" s="7" t="n">
        <v>630</v>
      </c>
      <c r="D14" s="8" t="n">
        <f aca="false">IF(C14=0,0,B14/C14)</f>
        <v>0.0174603174603175</v>
      </c>
      <c r="E14" s="9" t="n">
        <v>7.7</v>
      </c>
      <c r="F14" s="5" t="n">
        <f aca="false">IF(E14&lt;1,"",LOOKUP(E14,'CTR Benchmark'!$B$7:$B$19,'CTR Benchmark'!$C$7:$C$19))</f>
        <v>0.039</v>
      </c>
      <c r="G14" s="8" t="n">
        <f aca="false">IF(F14="","",D14-F14)</f>
        <v>-0.0215396825396825</v>
      </c>
      <c r="H14" s="10" t="n">
        <f aca="false">IF(G14="",0,ROUND(MAX(0,-G14)*C14,0))</f>
        <v>14</v>
      </c>
    </row>
    <row r="15" customFormat="false" ht="15" hidden="false" customHeight="false" outlineLevel="0" collapsed="false">
      <c r="A15" s="4" t="s">
        <v>36</v>
      </c>
      <c r="B15" s="7" t="n">
        <v>5</v>
      </c>
      <c r="C15" s="7" t="n">
        <v>350</v>
      </c>
      <c r="D15" s="8" t="n">
        <f aca="false">IF(C15=0,0,B15/C15)</f>
        <v>0.0142857142857143</v>
      </c>
      <c r="E15" s="9" t="n">
        <v>13.8</v>
      </c>
      <c r="F15" s="5" t="n">
        <f aca="false">IF(E15&lt;1,"",LOOKUP(E15,'CTR Benchmark'!$B$7:$B$19,'CTR Benchmark'!$C$7:$C$19))</f>
        <v>0.018</v>
      </c>
      <c r="G15" s="8" t="n">
        <f aca="false">IF(F15="","",D15-F15)</f>
        <v>-0.00371428571428571</v>
      </c>
      <c r="H15" s="10" t="n">
        <f aca="false">IF(G15="",0,ROUND(MAX(0,-G15)*C15,0))</f>
        <v>1</v>
      </c>
    </row>
    <row r="16" customFormat="false" ht="15" hidden="false" customHeight="false" outlineLevel="0" collapsed="false">
      <c r="A16" s="4" t="s">
        <v>37</v>
      </c>
      <c r="B16" s="7" t="n">
        <v>8</v>
      </c>
      <c r="C16" s="7" t="n">
        <v>460</v>
      </c>
      <c r="D16" s="8" t="n">
        <f aca="false">IF(C16=0,0,B16/C16)</f>
        <v>0.0173913043478261</v>
      </c>
      <c r="E16" s="9" t="n">
        <v>9.9</v>
      </c>
      <c r="F16" s="5" t="n">
        <f aca="false">IF(E16&lt;1,"",LOOKUP(E16,'CTR Benchmark'!$B$7:$B$19,'CTR Benchmark'!$C$7:$C$19))</f>
        <v>0.027</v>
      </c>
      <c r="G16" s="8" t="n">
        <f aca="false">IF(F16="","",D16-F16)</f>
        <v>-0.00960869565217391</v>
      </c>
      <c r="H16" s="10" t="n">
        <f aca="false">IF(G16="",0,ROUND(MAX(0,-G16)*C16,0))</f>
        <v>4</v>
      </c>
    </row>
    <row r="17" customFormat="false" ht="15" hidden="false" customHeight="false" outlineLevel="0" collapsed="false">
      <c r="A17" s="4" t="s">
        <v>38</v>
      </c>
      <c r="B17" s="7" t="n">
        <v>4</v>
      </c>
      <c r="C17" s="7" t="n">
        <v>280</v>
      </c>
      <c r="D17" s="8" t="n">
        <f aca="false">IF(C17=0,0,B17/C17)</f>
        <v>0.0142857142857143</v>
      </c>
      <c r="E17" s="9" t="n">
        <v>15.4</v>
      </c>
      <c r="F17" s="5" t="n">
        <f aca="false">IF(E17&lt;1,"",LOOKUP(E17,'CTR Benchmark'!$B$7:$B$19,'CTR Benchmark'!$C$7:$C$19))</f>
        <v>0.018</v>
      </c>
      <c r="G17" s="8" t="n">
        <f aca="false">IF(F17="","",D17-F17)</f>
        <v>-0.00371428571428571</v>
      </c>
      <c r="H17" s="10" t="n">
        <f aca="false">IF(G17="",0,ROUND(MAX(0,-G17)*C17,0))</f>
        <v>1</v>
      </c>
    </row>
    <row r="18" customFormat="false" ht="15" hidden="false" customHeight="false" outlineLevel="0" collapsed="false">
      <c r="A18" s="4" t="s">
        <v>39</v>
      </c>
      <c r="B18" s="7" t="n">
        <v>7</v>
      </c>
      <c r="C18" s="7" t="n">
        <v>320</v>
      </c>
      <c r="D18" s="8" t="n">
        <f aca="false">IF(C18=0,0,B18/C18)</f>
        <v>0.021875</v>
      </c>
      <c r="E18" s="9" t="n">
        <v>10.6</v>
      </c>
      <c r="F18" s="5" t="n">
        <f aca="false">IF(E18&lt;1,"",LOOKUP(E18,'CTR Benchmark'!$B$7:$B$19,'CTR Benchmark'!$C$7:$C$19))</f>
        <v>0.024</v>
      </c>
      <c r="G18" s="8" t="n">
        <f aca="false">IF(F18="","",D18-F18)</f>
        <v>-0.002125</v>
      </c>
      <c r="H18" s="10" t="n">
        <f aca="false">IF(G18="",0,ROUND(MAX(0,-G18)*C18,0))</f>
        <v>1</v>
      </c>
    </row>
    <row r="19" customFormat="false" ht="15" hidden="false" customHeight="false" outlineLevel="0" collapsed="false">
      <c r="A19" s="4" t="s">
        <v>40</v>
      </c>
      <c r="B19" s="7" t="n">
        <v>10</v>
      </c>
      <c r="C19" s="7" t="n">
        <v>390</v>
      </c>
      <c r="D19" s="8" t="n">
        <f aca="false">IF(C19=0,0,B19/C19)</f>
        <v>0.0256410256410256</v>
      </c>
      <c r="E19" s="9" t="n">
        <v>6.4</v>
      </c>
      <c r="F19" s="5" t="n">
        <f aca="false">IF(E19&lt;1,"",LOOKUP(E19,'CTR Benchmark'!$B$7:$B$19,'CTR Benchmark'!$C$7:$C$19))</f>
        <v>0.049</v>
      </c>
      <c r="G19" s="8" t="n">
        <f aca="false">IF(F19="","",D19-F19)</f>
        <v>-0.0233589743589744</v>
      </c>
      <c r="H19" s="10" t="n">
        <f aca="false">IF(G19="",0,ROUND(MAX(0,-G19)*C19,0))</f>
        <v>9</v>
      </c>
    </row>
    <row r="20" customFormat="false" ht="15" hidden="false" customHeight="false" outlineLevel="0" collapsed="false">
      <c r="A20" s="4" t="s">
        <v>41</v>
      </c>
      <c r="B20" s="7" t="n">
        <v>6</v>
      </c>
      <c r="C20" s="7" t="n">
        <v>300</v>
      </c>
      <c r="D20" s="8" t="n">
        <f aca="false">IF(C20=0,0,B20/C20)</f>
        <v>0.02</v>
      </c>
      <c r="E20" s="9" t="n">
        <v>11.9</v>
      </c>
      <c r="F20" s="5" t="n">
        <f aca="false">IF(E20&lt;1,"",LOOKUP(E20,'CTR Benchmark'!$B$7:$B$19,'CTR Benchmark'!$C$7:$C$19))</f>
        <v>0.018</v>
      </c>
      <c r="G20" s="8" t="n">
        <f aca="false">IF(F20="","",D20-F20)</f>
        <v>0.002</v>
      </c>
      <c r="H20" s="10" t="n">
        <f aca="false">IF(G20="",0,ROUND(MAX(0,-G20)*C20,0))</f>
        <v>0</v>
      </c>
    </row>
    <row r="21" customFormat="false" ht="15" hidden="false" customHeight="false" outlineLevel="0" collapsed="false">
      <c r="A21" s="11" t="s">
        <v>42</v>
      </c>
      <c r="B21" s="12" t="n">
        <f aca="false">SUM(B6:B20)</f>
        <v>208</v>
      </c>
      <c r="C21" s="12" t="n">
        <f aca="false">SUM(C6:C20)</f>
        <v>9880</v>
      </c>
      <c r="D21" s="13" t="n">
        <f aca="false">IF(C21=0,0,B21/C21)</f>
        <v>0.0210526315789474</v>
      </c>
      <c r="H21" s="12" t="n">
        <f aca="false">SUM(H6:H20)</f>
        <v>214</v>
      </c>
    </row>
  </sheetData>
  <mergeCells count="1">
    <mergeCell ref="A1:H3"/>
  </mergeCells>
  <conditionalFormatting sqref="G6:G2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7"/>
  </cols>
  <sheetData>
    <row r="1" customFormat="false" ht="1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44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</row>
    <row r="5" customFormat="false" ht="30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4" t="s">
        <v>45</v>
      </c>
      <c r="B6" s="7" t="n">
        <v>44</v>
      </c>
      <c r="C6" s="7" t="n">
        <v>1820</v>
      </c>
      <c r="D6" s="8" t="n">
        <f aca="false">IF(C6=0,0,B6/C6)</f>
        <v>0.0241758241758242</v>
      </c>
      <c r="E6" s="9" t="n">
        <v>6.2</v>
      </c>
      <c r="F6" s="5" t="n">
        <f aca="false">IF(E6&lt;1,"",LOOKUP(E6,'CTR Benchmark'!$B$7:$B$19,'CTR Benchmark'!$C$7:$C$19))</f>
        <v>0.049</v>
      </c>
      <c r="G6" s="8" t="n">
        <f aca="false">IF(F6="","",D6-F6)</f>
        <v>-0.0248241758241758</v>
      </c>
      <c r="H6" s="10" t="n">
        <f aca="false">IF(G6="",0,ROUND(MAX(0,-G6)*C6,0))</f>
        <v>45</v>
      </c>
    </row>
    <row r="7" customFormat="false" ht="15" hidden="false" customHeight="false" outlineLevel="0" collapsed="false">
      <c r="A7" s="4" t="s">
        <v>46</v>
      </c>
      <c r="B7" s="7" t="n">
        <v>29</v>
      </c>
      <c r="C7" s="7" t="n">
        <v>1490</v>
      </c>
      <c r="D7" s="8" t="n">
        <f aca="false">IF(C7=0,0,B7/C7)</f>
        <v>0.0194630872483221</v>
      </c>
      <c r="E7" s="9" t="n">
        <v>7.3</v>
      </c>
      <c r="F7" s="5" t="n">
        <f aca="false">IF(E7&lt;1,"",LOOKUP(E7,'CTR Benchmark'!$B$7:$B$19,'CTR Benchmark'!$C$7:$C$19))</f>
        <v>0.039</v>
      </c>
      <c r="G7" s="8" t="n">
        <f aca="false">IF(F7="","",D7-F7)</f>
        <v>-0.0195369127516779</v>
      </c>
      <c r="H7" s="10" t="n">
        <f aca="false">IF(G7="",0,ROUND(MAX(0,-G7)*C7,0))</f>
        <v>29</v>
      </c>
    </row>
    <row r="8" customFormat="false" ht="15" hidden="false" customHeight="false" outlineLevel="0" collapsed="false">
      <c r="A8" s="4" t="s">
        <v>47</v>
      </c>
      <c r="B8" s="7" t="n">
        <v>16</v>
      </c>
      <c r="C8" s="7" t="n">
        <v>1240</v>
      </c>
      <c r="D8" s="8" t="n">
        <f aca="false">IF(C8=0,0,B8/C8)</f>
        <v>0.0129032258064516</v>
      </c>
      <c r="E8" s="9" t="n">
        <v>9</v>
      </c>
      <c r="F8" s="5" t="n">
        <f aca="false">IF(E8&lt;1,"",LOOKUP(E8,'CTR Benchmark'!$B$7:$B$19,'CTR Benchmark'!$C$7:$C$19))</f>
        <v>0.027</v>
      </c>
      <c r="G8" s="8" t="n">
        <f aca="false">IF(F8="","",D8-F8)</f>
        <v>-0.0140967741935484</v>
      </c>
      <c r="H8" s="10" t="n">
        <f aca="false">IF(G8="",0,ROUND(MAX(0,-G8)*C8,0))</f>
        <v>17</v>
      </c>
    </row>
    <row r="9" customFormat="false" ht="15" hidden="false" customHeight="false" outlineLevel="0" collapsed="false">
      <c r="A9" s="4" t="s">
        <v>48</v>
      </c>
      <c r="B9" s="7" t="n">
        <v>24</v>
      </c>
      <c r="C9" s="7" t="n">
        <v>910</v>
      </c>
      <c r="D9" s="8" t="n">
        <f aca="false">IF(C9=0,0,B9/C9)</f>
        <v>0.0263736263736264</v>
      </c>
      <c r="E9" s="9" t="n">
        <v>5.7</v>
      </c>
      <c r="F9" s="5" t="n">
        <f aca="false">IF(E9&lt;1,"",LOOKUP(E9,'CTR Benchmark'!$B$7:$B$19,'CTR Benchmark'!$C$7:$C$19))</f>
        <v>0.063</v>
      </c>
      <c r="G9" s="8" t="n">
        <f aca="false">IF(F9="","",D9-F9)</f>
        <v>-0.0366263736263736</v>
      </c>
      <c r="H9" s="10" t="n">
        <f aca="false">IF(G9="",0,ROUND(MAX(0,-G9)*C9,0))</f>
        <v>33</v>
      </c>
    </row>
    <row r="10" customFormat="false" ht="15" hidden="false" customHeight="false" outlineLevel="0" collapsed="false">
      <c r="A10" s="4" t="s">
        <v>49</v>
      </c>
      <c r="B10" s="7" t="n">
        <v>18</v>
      </c>
      <c r="C10" s="7" t="n">
        <v>800</v>
      </c>
      <c r="D10" s="8" t="n">
        <f aca="false">IF(C10=0,0,B10/C10)</f>
        <v>0.0225</v>
      </c>
      <c r="E10" s="9" t="n">
        <v>6.8</v>
      </c>
      <c r="F10" s="5" t="n">
        <f aca="false">IF(E10&lt;1,"",LOOKUP(E10,'CTR Benchmark'!$B$7:$B$19,'CTR Benchmark'!$C$7:$C$19))</f>
        <v>0.049</v>
      </c>
      <c r="G10" s="8" t="n">
        <f aca="false">IF(F10="","",D10-F10)</f>
        <v>-0.0265</v>
      </c>
      <c r="H10" s="10" t="n">
        <f aca="false">IF(G10="",0,ROUND(MAX(0,-G10)*C10,0))</f>
        <v>21</v>
      </c>
    </row>
    <row r="11" customFormat="false" ht="15" hidden="false" customHeight="false" outlineLevel="0" collapsed="false">
      <c r="A11" s="4" t="s">
        <v>50</v>
      </c>
      <c r="B11" s="7" t="n">
        <v>21</v>
      </c>
      <c r="C11" s="7" t="n">
        <v>590</v>
      </c>
      <c r="D11" s="8" t="n">
        <f aca="false">IF(C11=0,0,B11/C11)</f>
        <v>0.0355932203389831</v>
      </c>
      <c r="E11" s="9" t="n">
        <v>4.5</v>
      </c>
      <c r="F11" s="5" t="n">
        <f aca="false">IF(E11&lt;1,"",LOOKUP(E11,'CTR Benchmark'!$B$7:$B$19,'CTR Benchmark'!$C$7:$C$19))</f>
        <v>0.084</v>
      </c>
      <c r="G11" s="8" t="n">
        <f aca="false">IF(F11="","",D11-F11)</f>
        <v>-0.048406779661017</v>
      </c>
      <c r="H11" s="10" t="n">
        <f aca="false">IF(G11="",0,ROUND(MAX(0,-G11)*C11,0))</f>
        <v>29</v>
      </c>
    </row>
    <row r="12" customFormat="false" ht="15" hidden="false" customHeight="false" outlineLevel="0" collapsed="false">
      <c r="A12" s="4" t="s">
        <v>51</v>
      </c>
      <c r="B12" s="7" t="n">
        <v>13</v>
      </c>
      <c r="C12" s="7" t="n">
        <v>510</v>
      </c>
      <c r="D12" s="8" t="n">
        <f aca="false">IF(C12=0,0,B12/C12)</f>
        <v>0.0254901960784314</v>
      </c>
      <c r="E12" s="9" t="n">
        <v>5.2</v>
      </c>
      <c r="F12" s="5" t="n">
        <f aca="false">IF(E12&lt;1,"",LOOKUP(E12,'CTR Benchmark'!$B$7:$B$19,'CTR Benchmark'!$C$7:$C$19))</f>
        <v>0.063</v>
      </c>
      <c r="G12" s="8" t="n">
        <f aca="false">IF(F12="","",D12-F12)</f>
        <v>-0.0375098039215686</v>
      </c>
      <c r="H12" s="10" t="n">
        <f aca="false">IF(G12="",0,ROUND(MAX(0,-G12)*C12,0))</f>
        <v>19</v>
      </c>
    </row>
    <row r="13" customFormat="false" ht="15" hidden="false" customHeight="false" outlineLevel="0" collapsed="false">
      <c r="A13" s="4" t="s">
        <v>52</v>
      </c>
      <c r="B13" s="7" t="n">
        <v>12</v>
      </c>
      <c r="C13" s="7" t="n">
        <v>670</v>
      </c>
      <c r="D13" s="8" t="n">
        <f aca="false">IF(C13=0,0,B13/C13)</f>
        <v>0.017910447761194</v>
      </c>
      <c r="E13" s="9" t="n">
        <v>7.6</v>
      </c>
      <c r="F13" s="5" t="n">
        <f aca="false">IF(E13&lt;1,"",LOOKUP(E13,'CTR Benchmark'!$B$7:$B$19,'CTR Benchmark'!$C$7:$C$19))</f>
        <v>0.039</v>
      </c>
      <c r="G13" s="8" t="n">
        <f aca="false">IF(F13="","",D13-F13)</f>
        <v>-0.021089552238806</v>
      </c>
      <c r="H13" s="10" t="n">
        <f aca="false">IF(G13="",0,ROUND(MAX(0,-G13)*C13,0))</f>
        <v>14</v>
      </c>
    </row>
    <row r="14" customFormat="false" ht="15" hidden="false" customHeight="false" outlineLevel="0" collapsed="false">
      <c r="A14" s="4" t="s">
        <v>53</v>
      </c>
      <c r="B14" s="7" t="n">
        <v>11</v>
      </c>
      <c r="C14" s="7" t="n">
        <v>420</v>
      </c>
      <c r="D14" s="8" t="n">
        <f aca="false">IF(C14=0,0,B14/C14)</f>
        <v>0.0261904761904762</v>
      </c>
      <c r="E14" s="9" t="n">
        <v>6.3</v>
      </c>
      <c r="F14" s="5" t="n">
        <f aca="false">IF(E14&lt;1,"",LOOKUP(E14,'CTR Benchmark'!$B$7:$B$19,'CTR Benchmark'!$C$7:$C$19))</f>
        <v>0.049</v>
      </c>
      <c r="G14" s="8" t="n">
        <f aca="false">IF(F14="","",D14-F14)</f>
        <v>-0.0228095238095238</v>
      </c>
      <c r="H14" s="10" t="n">
        <f aca="false">IF(G14="",0,ROUND(MAX(0,-G14)*C14,0))</f>
        <v>10</v>
      </c>
    </row>
    <row r="15" customFormat="false" ht="15" hidden="false" customHeight="false" outlineLevel="0" collapsed="false">
      <c r="A15" s="4" t="s">
        <v>54</v>
      </c>
      <c r="B15" s="7" t="n">
        <v>9</v>
      </c>
      <c r="C15" s="7" t="n">
        <v>490</v>
      </c>
      <c r="D15" s="8" t="n">
        <f aca="false">IF(C15=0,0,B15/C15)</f>
        <v>0.0183673469387755</v>
      </c>
      <c r="E15" s="9" t="n">
        <v>9.7</v>
      </c>
      <c r="F15" s="5" t="n">
        <f aca="false">IF(E15&lt;1,"",LOOKUP(E15,'CTR Benchmark'!$B$7:$B$19,'CTR Benchmark'!$C$7:$C$19))</f>
        <v>0.027</v>
      </c>
      <c r="G15" s="8" t="n">
        <f aca="false">IF(F15="","",D15-F15)</f>
        <v>-0.00863265306122449</v>
      </c>
      <c r="H15" s="10" t="n">
        <f aca="false">IF(G15="",0,ROUND(MAX(0,-G15)*C15,0))</f>
        <v>4</v>
      </c>
    </row>
    <row r="16" customFormat="false" ht="15" hidden="false" customHeight="false" outlineLevel="0" collapsed="false">
      <c r="A16" s="4" t="s">
        <v>55</v>
      </c>
      <c r="B16" s="7" t="n">
        <v>10</v>
      </c>
      <c r="C16" s="7" t="n">
        <v>440</v>
      </c>
      <c r="D16" s="8" t="n">
        <f aca="false">IF(C16=0,0,B16/C16)</f>
        <v>0.0227272727272727</v>
      </c>
      <c r="E16" s="9" t="n">
        <v>8.1</v>
      </c>
      <c r="F16" s="5" t="n">
        <f aca="false">IF(E16&lt;1,"",LOOKUP(E16,'CTR Benchmark'!$B$7:$B$19,'CTR Benchmark'!$C$7:$C$19))</f>
        <v>0.033</v>
      </c>
      <c r="G16" s="8" t="n">
        <f aca="false">IF(F16="","",D16-F16)</f>
        <v>-0.0102727272727273</v>
      </c>
      <c r="H16" s="10" t="n">
        <f aca="false">IF(G16="",0,ROUND(MAX(0,-G16)*C16,0))</f>
        <v>5</v>
      </c>
    </row>
    <row r="17" customFormat="false" ht="15" hidden="false" customHeight="false" outlineLevel="0" collapsed="false">
      <c r="A17" s="4" t="s">
        <v>56</v>
      </c>
      <c r="B17" s="7" t="n">
        <v>8</v>
      </c>
      <c r="C17" s="7" t="n">
        <v>350</v>
      </c>
      <c r="D17" s="8" t="n">
        <f aca="false">IF(C17=0,0,B17/C17)</f>
        <v>0.0228571428571429</v>
      </c>
      <c r="E17" s="9" t="n">
        <v>10.4</v>
      </c>
      <c r="F17" s="5" t="n">
        <f aca="false">IF(E17&lt;1,"",LOOKUP(E17,'CTR Benchmark'!$B$7:$B$19,'CTR Benchmark'!$C$7:$C$19))</f>
        <v>0.024</v>
      </c>
      <c r="G17" s="8" t="n">
        <f aca="false">IF(F17="","",D17-F17)</f>
        <v>-0.00114285714285714</v>
      </c>
      <c r="H17" s="10" t="n">
        <f aca="false">IF(G17="",0,ROUND(MAX(0,-G17)*C17,0))</f>
        <v>0</v>
      </c>
    </row>
    <row r="18" customFormat="false" ht="15" hidden="false" customHeight="false" outlineLevel="0" collapsed="false">
      <c r="A18" s="4" t="s">
        <v>57</v>
      </c>
      <c r="B18" s="7" t="n">
        <v>7</v>
      </c>
      <c r="C18" s="7" t="n">
        <v>330</v>
      </c>
      <c r="D18" s="8" t="n">
        <f aca="false">IF(C18=0,0,B18/C18)</f>
        <v>0.0212121212121212</v>
      </c>
      <c r="E18" s="9" t="n">
        <v>11.7</v>
      </c>
      <c r="F18" s="5" t="n">
        <f aca="false">IF(E18&lt;1,"",LOOKUP(E18,'CTR Benchmark'!$B$7:$B$19,'CTR Benchmark'!$C$7:$C$19))</f>
        <v>0.018</v>
      </c>
      <c r="G18" s="8" t="n">
        <f aca="false">IF(F18="","",D18-F18)</f>
        <v>0.00321212121212121</v>
      </c>
      <c r="H18" s="10" t="n">
        <f aca="false">IF(G18="",0,ROUND(MAX(0,-G18)*C18,0))</f>
        <v>0</v>
      </c>
    </row>
    <row r="19" customFormat="false" ht="15" hidden="false" customHeight="false" outlineLevel="0" collapsed="false">
      <c r="A19" s="4" t="s">
        <v>58</v>
      </c>
      <c r="B19" s="7" t="n">
        <v>6</v>
      </c>
      <c r="C19" s="7" t="n">
        <v>280</v>
      </c>
      <c r="D19" s="8" t="n">
        <f aca="false">IF(C19=0,0,B19/C19)</f>
        <v>0.0214285714285714</v>
      </c>
      <c r="E19" s="9" t="n">
        <v>12.5</v>
      </c>
      <c r="F19" s="5" t="n">
        <f aca="false">IF(E19&lt;1,"",LOOKUP(E19,'CTR Benchmark'!$B$7:$B$19,'CTR Benchmark'!$C$7:$C$19))</f>
        <v>0.018</v>
      </c>
      <c r="G19" s="8" t="n">
        <f aca="false">IF(F19="","",D19-F19)</f>
        <v>0.00342857142857143</v>
      </c>
      <c r="H19" s="10" t="n">
        <f aca="false">IF(G19="",0,ROUND(MAX(0,-G19)*C19,0))</f>
        <v>0</v>
      </c>
    </row>
    <row r="20" customFormat="false" ht="15" hidden="false" customHeight="false" outlineLevel="0" collapsed="false">
      <c r="A20" s="4" t="s">
        <v>59</v>
      </c>
      <c r="B20" s="7" t="n">
        <v>9</v>
      </c>
      <c r="C20" s="7" t="n">
        <v>360</v>
      </c>
      <c r="D20" s="8" t="n">
        <f aca="false">IF(C20=0,0,B20/C20)</f>
        <v>0.025</v>
      </c>
      <c r="E20" s="9" t="n">
        <v>8.8</v>
      </c>
      <c r="F20" s="5" t="n">
        <f aca="false">IF(E20&lt;1,"",LOOKUP(E20,'CTR Benchmark'!$B$7:$B$19,'CTR Benchmark'!$C$7:$C$19))</f>
        <v>0.033</v>
      </c>
      <c r="G20" s="8" t="n">
        <f aca="false">IF(F20="","",D20-F20)</f>
        <v>-0.008</v>
      </c>
      <c r="H20" s="10" t="n">
        <f aca="false">IF(G20="",0,ROUND(MAX(0,-G20)*C20,0))</f>
        <v>3</v>
      </c>
    </row>
    <row r="21" customFormat="false" ht="15" hidden="false" customHeight="false" outlineLevel="0" collapsed="false">
      <c r="A21" s="4" t="s">
        <v>60</v>
      </c>
      <c r="B21" s="7" t="n">
        <v>5</v>
      </c>
      <c r="C21" s="7" t="n">
        <v>210</v>
      </c>
      <c r="D21" s="8" t="n">
        <f aca="false">IF(C21=0,0,B21/C21)</f>
        <v>0.0238095238095238</v>
      </c>
      <c r="E21" s="9" t="n">
        <v>13.1</v>
      </c>
      <c r="F21" s="5" t="n">
        <f aca="false">IF(E21&lt;1,"",LOOKUP(E21,'CTR Benchmark'!$B$7:$B$19,'CTR Benchmark'!$C$7:$C$19))</f>
        <v>0.018</v>
      </c>
      <c r="G21" s="8" t="n">
        <f aca="false">IF(F21="","",D21-F21)</f>
        <v>0.00580952380952381</v>
      </c>
      <c r="H21" s="10" t="n">
        <f aca="false">IF(G21="",0,ROUND(MAX(0,-G21)*C21,0))</f>
        <v>0</v>
      </c>
    </row>
    <row r="22" customFormat="false" ht="15" hidden="false" customHeight="false" outlineLevel="0" collapsed="false">
      <c r="A22" s="4" t="s">
        <v>61</v>
      </c>
      <c r="B22" s="7" t="n">
        <v>0</v>
      </c>
      <c r="C22" s="7" t="n">
        <v>0</v>
      </c>
      <c r="D22" s="8" t="n">
        <f aca="false">IF(C22=0,0,B22/C22)</f>
        <v>0</v>
      </c>
      <c r="E22" s="9" t="n">
        <v>0</v>
      </c>
      <c r="F22" s="5" t="str">
        <f aca="false">IF(E22&lt;1,"",LOOKUP(E22,'CTR Benchmark'!$B$7:$B$19,'CTR Benchmark'!$C$7:$C$19))</f>
        <v/>
      </c>
      <c r="G22" s="8" t="str">
        <f aca="false">IF(F22="","",D22-F22)</f>
        <v/>
      </c>
      <c r="H22" s="10" t="n">
        <f aca="false">IF(G22="",0,ROUND(MAX(0,-G22)*C22,0))</f>
        <v>0</v>
      </c>
    </row>
    <row r="23" customFormat="false" ht="15" hidden="false" customHeight="false" outlineLevel="0" collapsed="false">
      <c r="A23" s="4" t="s">
        <v>62</v>
      </c>
      <c r="B23" s="7" t="n">
        <v>0</v>
      </c>
      <c r="C23" s="7" t="n">
        <v>0</v>
      </c>
      <c r="D23" s="8" t="n">
        <f aca="false">IF(C23=0,0,B23/C23)</f>
        <v>0</v>
      </c>
      <c r="E23" s="9" t="n">
        <v>0</v>
      </c>
      <c r="F23" s="5" t="str">
        <f aca="false">IF(E23&lt;1,"",LOOKUP(E23,'CTR Benchmark'!$B$7:$B$19,'CTR Benchmark'!$C$7:$C$19))</f>
        <v/>
      </c>
      <c r="G23" s="8" t="str">
        <f aca="false">IF(F23="","",D23-F23)</f>
        <v/>
      </c>
      <c r="H23" s="10" t="n">
        <f aca="false">IF(G23="",0,ROUND(MAX(0,-G23)*C23,0))</f>
        <v>0</v>
      </c>
    </row>
    <row r="24" customFormat="false" ht="15" hidden="false" customHeight="false" outlineLevel="0" collapsed="false">
      <c r="A24" s="11" t="s">
        <v>42</v>
      </c>
      <c r="B24" s="12" t="n">
        <f aca="false">SUM(B6:B23)</f>
        <v>242</v>
      </c>
      <c r="C24" s="12" t="n">
        <f aca="false">SUM(C6:C23)</f>
        <v>10910</v>
      </c>
      <c r="D24" s="13" t="n">
        <f aca="false">IF(C24=0,0,B24/C24)</f>
        <v>0.0221814848762603</v>
      </c>
      <c r="H24" s="12" t="n">
        <f aca="false">SUM(H6:H23)</f>
        <v>229</v>
      </c>
    </row>
  </sheetData>
  <mergeCells count="1">
    <mergeCell ref="A1:H3"/>
  </mergeCells>
  <conditionalFormatting sqref="G6:G2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4"/>
  </cols>
  <sheetData>
    <row r="1" customFormat="false" ht="15" hidden="false" customHeight="true" outlineLevel="0" collapsed="false">
      <c r="A1" s="2" t="s">
        <v>63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4" t="s">
        <v>70</v>
      </c>
      <c r="B6" s="4" t="s">
        <v>71</v>
      </c>
      <c r="C6" s="4" t="s">
        <v>72</v>
      </c>
      <c r="D6" s="4" t="s">
        <v>73</v>
      </c>
      <c r="E6" s="14"/>
      <c r="F6" s="4" t="s">
        <v>74</v>
      </c>
    </row>
    <row r="7" customFormat="false" ht="15" hidden="false" customHeight="false" outlineLevel="0" collapsed="false">
      <c r="A7" s="4" t="s">
        <v>45</v>
      </c>
      <c r="B7" s="4" t="s">
        <v>71</v>
      </c>
      <c r="C7" s="4" t="s">
        <v>72</v>
      </c>
      <c r="D7" s="4" t="s">
        <v>73</v>
      </c>
      <c r="E7" s="14"/>
      <c r="F7" s="4" t="s">
        <v>75</v>
      </c>
    </row>
    <row r="8" customFormat="false" ht="15" hidden="false" customHeight="false" outlineLevel="0" collapsed="false">
      <c r="A8" s="4" t="s">
        <v>46</v>
      </c>
      <c r="B8" s="4" t="s">
        <v>71</v>
      </c>
      <c r="C8" s="4" t="s">
        <v>72</v>
      </c>
      <c r="D8" s="4" t="s">
        <v>73</v>
      </c>
      <c r="E8" s="14"/>
      <c r="F8" s="4" t="s">
        <v>75</v>
      </c>
    </row>
    <row r="9" customFormat="false" ht="15" hidden="false" customHeight="false" outlineLevel="0" collapsed="false">
      <c r="A9" s="4" t="s">
        <v>47</v>
      </c>
      <c r="B9" s="4" t="s">
        <v>71</v>
      </c>
      <c r="C9" s="4" t="s">
        <v>72</v>
      </c>
      <c r="D9" s="4" t="s">
        <v>73</v>
      </c>
      <c r="E9" s="14"/>
      <c r="F9" s="4" t="s">
        <v>75</v>
      </c>
    </row>
    <row r="10" customFormat="false" ht="15" hidden="false" customHeight="false" outlineLevel="0" collapsed="false">
      <c r="A10" s="4" t="s">
        <v>48</v>
      </c>
      <c r="B10" s="4" t="s">
        <v>71</v>
      </c>
      <c r="C10" s="4" t="s">
        <v>72</v>
      </c>
      <c r="D10" s="4" t="s">
        <v>73</v>
      </c>
      <c r="E10" s="14"/>
      <c r="F10" s="4" t="s">
        <v>76</v>
      </c>
    </row>
    <row r="11" customFormat="false" ht="15" hidden="false" customHeight="false" outlineLevel="0" collapsed="false">
      <c r="A11" s="4" t="s">
        <v>49</v>
      </c>
      <c r="B11" s="4" t="s">
        <v>71</v>
      </c>
      <c r="C11" s="4" t="s">
        <v>72</v>
      </c>
      <c r="D11" s="4" t="s">
        <v>73</v>
      </c>
      <c r="E11" s="14"/>
      <c r="F11" s="4" t="s">
        <v>76</v>
      </c>
    </row>
    <row r="12" customFormat="false" ht="15" hidden="false" customHeight="false" outlineLevel="0" collapsed="false">
      <c r="A12" s="4" t="s">
        <v>51</v>
      </c>
      <c r="B12" s="4" t="s">
        <v>71</v>
      </c>
      <c r="C12" s="4" t="s">
        <v>72</v>
      </c>
      <c r="D12" s="4" t="s">
        <v>73</v>
      </c>
      <c r="E12" s="14"/>
      <c r="F12" s="4" t="s">
        <v>76</v>
      </c>
    </row>
    <row r="13" customFormat="false" ht="15" hidden="false" customHeight="false" outlineLevel="0" collapsed="false">
      <c r="A13" s="4" t="s">
        <v>50</v>
      </c>
      <c r="B13" s="4" t="s">
        <v>71</v>
      </c>
      <c r="C13" s="4" t="s">
        <v>72</v>
      </c>
      <c r="D13" s="4" t="s">
        <v>73</v>
      </c>
      <c r="E13" s="14"/>
      <c r="F13" s="4" t="s">
        <v>74</v>
      </c>
    </row>
    <row r="14" customFormat="false" ht="15" hidden="false" customHeight="false" outlineLevel="0" collapsed="false">
      <c r="A14" s="4" t="s">
        <v>53</v>
      </c>
      <c r="B14" s="4" t="s">
        <v>71</v>
      </c>
      <c r="C14" s="4" t="s">
        <v>72</v>
      </c>
      <c r="D14" s="4" t="s">
        <v>73</v>
      </c>
      <c r="E14" s="14"/>
      <c r="F14" s="4" t="s">
        <v>76</v>
      </c>
    </row>
    <row r="15" customFormat="false" ht="15" hidden="false" customHeight="false" outlineLevel="0" collapsed="false">
      <c r="A15" s="4" t="s">
        <v>54</v>
      </c>
      <c r="B15" s="4" t="s">
        <v>71</v>
      </c>
      <c r="C15" s="4" t="s">
        <v>72</v>
      </c>
      <c r="D15" s="4" t="s">
        <v>73</v>
      </c>
      <c r="E15" s="14"/>
      <c r="F15" s="4" t="s">
        <v>75</v>
      </c>
    </row>
    <row r="16" customFormat="false" ht="15" hidden="false" customHeight="false" outlineLevel="0" collapsed="false">
      <c r="A16" s="4" t="s">
        <v>52</v>
      </c>
      <c r="B16" s="4" t="s">
        <v>71</v>
      </c>
      <c r="C16" s="4" t="s">
        <v>72</v>
      </c>
      <c r="D16" s="4" t="s">
        <v>73</v>
      </c>
      <c r="E16" s="14"/>
      <c r="F16" s="4" t="s">
        <v>76</v>
      </c>
    </row>
    <row r="17" customFormat="false" ht="15" hidden="false" customHeight="false" outlineLevel="0" collapsed="false">
      <c r="A17" s="4" t="s">
        <v>55</v>
      </c>
      <c r="B17" s="4" t="s">
        <v>71</v>
      </c>
      <c r="C17" s="4" t="s">
        <v>72</v>
      </c>
      <c r="D17" s="4" t="s">
        <v>73</v>
      </c>
      <c r="E17" s="14"/>
      <c r="F17" s="4" t="s">
        <v>76</v>
      </c>
    </row>
    <row r="18" customFormat="false" ht="15" hidden="false" customHeight="false" outlineLevel="0" collapsed="false">
      <c r="A18" s="4" t="s">
        <v>56</v>
      </c>
      <c r="B18" s="4" t="s">
        <v>71</v>
      </c>
      <c r="C18" s="4" t="s">
        <v>72</v>
      </c>
      <c r="D18" s="4" t="s">
        <v>73</v>
      </c>
      <c r="E18" s="14"/>
      <c r="F18" s="4" t="s">
        <v>75</v>
      </c>
    </row>
    <row r="19" customFormat="false" ht="15" hidden="false" customHeight="false" outlineLevel="0" collapsed="false">
      <c r="A19" s="4" t="s">
        <v>61</v>
      </c>
      <c r="B19" s="4" t="s">
        <v>77</v>
      </c>
      <c r="C19" s="4" t="s">
        <v>78</v>
      </c>
      <c r="D19" s="4" t="s">
        <v>79</v>
      </c>
      <c r="E19" s="14"/>
      <c r="F19" s="4" t="s">
        <v>80</v>
      </c>
    </row>
    <row r="20" customFormat="false" ht="15" hidden="false" customHeight="false" outlineLevel="0" collapsed="false">
      <c r="A20" s="4" t="s">
        <v>62</v>
      </c>
      <c r="B20" s="4" t="s">
        <v>77</v>
      </c>
      <c r="C20" s="4" t="s">
        <v>78</v>
      </c>
      <c r="D20" s="4" t="s">
        <v>79</v>
      </c>
      <c r="E20" s="14"/>
      <c r="F20" s="4" t="s">
        <v>80</v>
      </c>
    </row>
    <row r="21" customFormat="false" ht="15" hidden="false" customHeight="false" outlineLevel="0" collapsed="false">
      <c r="A21" s="4" t="s">
        <v>59</v>
      </c>
      <c r="B21" s="4" t="s">
        <v>71</v>
      </c>
      <c r="C21" s="4" t="s">
        <v>72</v>
      </c>
      <c r="D21" s="4" t="s">
        <v>73</v>
      </c>
      <c r="E21" s="14"/>
      <c r="F21" s="4" t="s">
        <v>76</v>
      </c>
    </row>
    <row r="22" customFormat="false" ht="15" hidden="false" customHeight="false" outlineLevel="0" collapsed="false">
      <c r="A22" s="4" t="s">
        <v>58</v>
      </c>
      <c r="B22" s="4" t="s">
        <v>71</v>
      </c>
      <c r="C22" s="4" t="s">
        <v>72</v>
      </c>
      <c r="D22" s="4" t="s">
        <v>73</v>
      </c>
      <c r="E22" s="14"/>
      <c r="F22" s="4" t="s">
        <v>76</v>
      </c>
    </row>
    <row r="23" customFormat="false" ht="15" hidden="false" customHeight="false" outlineLevel="0" collapsed="false">
      <c r="A23" s="4" t="s">
        <v>57</v>
      </c>
      <c r="B23" s="4" t="s">
        <v>71</v>
      </c>
      <c r="C23" s="4" t="s">
        <v>72</v>
      </c>
      <c r="D23" s="4" t="s">
        <v>73</v>
      </c>
      <c r="E23" s="14"/>
      <c r="F23" s="4" t="s">
        <v>74</v>
      </c>
    </row>
    <row r="24" customFormat="false" ht="15" hidden="false" customHeight="false" outlineLevel="0" collapsed="false">
      <c r="A24" s="4" t="s">
        <v>60</v>
      </c>
      <c r="B24" s="4" t="s">
        <v>71</v>
      </c>
      <c r="C24" s="4" t="s">
        <v>72</v>
      </c>
      <c r="D24" s="4" t="s">
        <v>73</v>
      </c>
      <c r="E24" s="14"/>
      <c r="F24" s="4" t="s">
        <v>76</v>
      </c>
    </row>
    <row r="25" customFormat="false" ht="15" hidden="false" customHeight="false" outlineLevel="0" collapsed="false">
      <c r="A25" s="4" t="s">
        <v>81</v>
      </c>
      <c r="B25" s="4" t="s">
        <v>77</v>
      </c>
      <c r="C25" s="4" t="s">
        <v>82</v>
      </c>
      <c r="D25" s="4" t="s">
        <v>79</v>
      </c>
      <c r="E25" s="14"/>
      <c r="F25" s="4" t="s">
        <v>83</v>
      </c>
    </row>
  </sheetData>
  <mergeCells count="1">
    <mergeCell ref="A1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42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</row>
    <row r="5" customFormat="false" ht="27.75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23.85" hidden="false" customHeight="false" outlineLevel="0" collapsed="false">
      <c r="A6" s="4" t="s">
        <v>45</v>
      </c>
      <c r="B6" s="15" t="s">
        <v>93</v>
      </c>
      <c r="C6" s="4" t="s">
        <v>94</v>
      </c>
      <c r="D6" s="15" t="s">
        <v>95</v>
      </c>
      <c r="E6" s="16"/>
      <c r="F6" s="16"/>
      <c r="G6" s="8" t="str">
        <f aca="false">IF(OR(E6="",F6=""),"",F6-E6)</f>
        <v/>
      </c>
      <c r="H6" s="4" t="str">
        <f aca="false">IF(G6="","awaiting data",IF(G6&gt;0.005,"improved",IF(G6&lt;-0.005,"worse","no clear change")))</f>
        <v>awaiting data</v>
      </c>
    </row>
    <row r="7" customFormat="false" ht="23.85" hidden="false" customHeight="false" outlineLevel="0" collapsed="false">
      <c r="A7" s="4" t="s">
        <v>46</v>
      </c>
      <c r="B7" s="15" t="s">
        <v>96</v>
      </c>
      <c r="C7" s="4" t="s">
        <v>94</v>
      </c>
      <c r="D7" s="15" t="s">
        <v>97</v>
      </c>
      <c r="E7" s="16"/>
      <c r="F7" s="16"/>
      <c r="G7" s="8" t="str">
        <f aca="false">IF(OR(E7="",F7=""),"",F7-E7)</f>
        <v/>
      </c>
      <c r="H7" s="4" t="str">
        <f aca="false">IF(G7="","awaiting data",IF(G7&gt;0.005,"improved",IF(G7&lt;-0.005,"worse","no clear change")))</f>
        <v>awaiting data</v>
      </c>
    </row>
    <row r="8" customFormat="false" ht="23.85" hidden="false" customHeight="false" outlineLevel="0" collapsed="false">
      <c r="A8" s="4" t="s">
        <v>47</v>
      </c>
      <c r="B8" s="15" t="s">
        <v>98</v>
      </c>
      <c r="C8" s="4" t="s">
        <v>94</v>
      </c>
      <c r="D8" s="15" t="s">
        <v>99</v>
      </c>
      <c r="E8" s="16"/>
      <c r="F8" s="16"/>
      <c r="G8" s="8" t="str">
        <f aca="false">IF(OR(E8="",F8=""),"",F8-E8)</f>
        <v/>
      </c>
      <c r="H8" s="4" t="str">
        <f aca="false">IF(G8="","awaiting data",IF(G8&gt;0.005,"improved",IF(G8&lt;-0.005,"worse","no clear change")))</f>
        <v>awaiting data</v>
      </c>
    </row>
    <row r="9" customFormat="false" ht="23.85" hidden="false" customHeight="false" outlineLevel="0" collapsed="false">
      <c r="A9" s="4" t="s">
        <v>48</v>
      </c>
      <c r="B9" s="15" t="s">
        <v>76</v>
      </c>
      <c r="C9" s="4" t="s">
        <v>94</v>
      </c>
      <c r="D9" s="15" t="s">
        <v>100</v>
      </c>
      <c r="E9" s="16"/>
      <c r="F9" s="16"/>
      <c r="G9" s="8" t="str">
        <f aca="false">IF(OR(E9="",F9=""),"",F9-E9)</f>
        <v/>
      </c>
      <c r="H9" s="4" t="str">
        <f aca="false">IF(G9="","awaiting data",IF(G9&gt;0.005,"improved",IF(G9&lt;-0.005,"worse","no clear change")))</f>
        <v>awaiting data</v>
      </c>
    </row>
    <row r="10" customFormat="false" ht="15" hidden="false" customHeight="false" outlineLevel="0" collapsed="false">
      <c r="A10" s="4" t="s">
        <v>54</v>
      </c>
      <c r="B10" s="15" t="s">
        <v>101</v>
      </c>
      <c r="C10" s="4" t="s">
        <v>94</v>
      </c>
      <c r="D10" s="15" t="s">
        <v>102</v>
      </c>
      <c r="E10" s="16"/>
      <c r="F10" s="16"/>
      <c r="G10" s="8" t="str">
        <f aca="false">IF(OR(E10="",F10=""),"",F10-E10)</f>
        <v/>
      </c>
      <c r="H10" s="4" t="str">
        <f aca="false">IF(G10="","awaiting data",IF(G10&gt;0.005,"improved",IF(G10&lt;-0.005,"worse","no clear change")))</f>
        <v>awaiting data</v>
      </c>
    </row>
    <row r="11" customFormat="false" ht="15" hidden="false" customHeight="false" outlineLevel="0" collapsed="false">
      <c r="A11" s="4" t="s">
        <v>56</v>
      </c>
      <c r="B11" s="15" t="s">
        <v>103</v>
      </c>
      <c r="C11" s="4" t="s">
        <v>94</v>
      </c>
      <c r="D11" s="15" t="s">
        <v>104</v>
      </c>
      <c r="E11" s="16"/>
      <c r="F11" s="16"/>
      <c r="G11" s="8" t="str">
        <f aca="false">IF(OR(E11="",F11=""),"",F11-E11)</f>
        <v/>
      </c>
      <c r="H11" s="4" t="str">
        <f aca="false">IF(G11="","awaiting data",IF(G11&gt;0.005,"improved",IF(G11&lt;-0.005,"worse","no clear change")))</f>
        <v>awaiting data</v>
      </c>
    </row>
    <row r="12" customFormat="false" ht="15" hidden="false" customHeight="false" outlineLevel="0" collapsed="false">
      <c r="A12" s="4" t="s">
        <v>61</v>
      </c>
      <c r="B12" s="15" t="s">
        <v>105</v>
      </c>
      <c r="C12" s="4" t="s">
        <v>94</v>
      </c>
      <c r="D12" s="15" t="s">
        <v>106</v>
      </c>
      <c r="E12" s="16"/>
      <c r="F12" s="16"/>
      <c r="G12" s="8" t="str">
        <f aca="false">IF(OR(E12="",F12=""),"",F12-E12)</f>
        <v/>
      </c>
      <c r="H12" s="4" t="str">
        <f aca="false">IF(G12="","awaiting data",IF(G12&gt;0.005,"improved",IF(G12&lt;-0.005,"worse","no clear change")))</f>
        <v>awaiting data</v>
      </c>
    </row>
    <row r="13" customFormat="false" ht="15" hidden="false" customHeight="false" outlineLevel="0" collapsed="false">
      <c r="A13" s="4" t="s">
        <v>62</v>
      </c>
      <c r="B13" s="15" t="s">
        <v>105</v>
      </c>
      <c r="C13" s="4" t="s">
        <v>94</v>
      </c>
      <c r="D13" s="15" t="s">
        <v>107</v>
      </c>
      <c r="E13" s="16"/>
      <c r="F13" s="16"/>
      <c r="G13" s="8" t="str">
        <f aca="false">IF(OR(E13="",F13=""),"",F13-E13)</f>
        <v/>
      </c>
      <c r="H13" s="4" t="str">
        <f aca="false">IF(G13="","awaiting data",IF(G13&gt;0.005,"improved",IF(G13&lt;-0.005,"worse","no clear change")))</f>
        <v>awaiting data</v>
      </c>
    </row>
  </sheetData>
  <mergeCells count="1">
    <mergeCell ref="A1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2026-09-06T16:50:39Z</dcterms:created>
  <dc:creator>openpyxl</dc:creator>
  <dc:description/>
  <dc:language>en-US</dc:language>
  <cp:lastModifiedBy/>
  <dcterms:modified xsi:type="dcterms:W3CDTF">2026-09-06T16:50:39Z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